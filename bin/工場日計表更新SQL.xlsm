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工場日計表\bin\"/>
    </mc:Choice>
  </mc:AlternateContent>
  <xr:revisionPtr revIDLastSave="0" documentId="13_ncr:1_{AFDAF2A9-EE02-42EE-B29A-90941008C7E6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Wait" sheetId="1" r:id="rId1"/>
    <sheet name="Pla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0" i="2" l="1"/>
  <c r="M10" i="2"/>
  <c r="L10" i="2"/>
  <c r="K10" i="2"/>
  <c r="J10" i="2"/>
  <c r="I10" i="2"/>
  <c r="H10" i="2"/>
  <c r="G10" i="2"/>
  <c r="F10" i="2"/>
  <c r="E10" i="2"/>
  <c r="D10" i="2"/>
  <c r="C10" i="2"/>
  <c r="O5" i="2" l="1"/>
  <c r="O4" i="2"/>
  <c r="O3" i="2"/>
  <c r="O2" i="2"/>
  <c r="O9" i="2" l="1"/>
  <c r="O8" i="2"/>
  <c r="O10" i="2"/>
  <c r="O7" i="2"/>
</calcChain>
</file>

<file path=xl/sharedStrings.xml><?xml version="1.0" encoding="utf-8"?>
<sst xmlns="http://schemas.openxmlformats.org/spreadsheetml/2006/main" count="34" uniqueCount="26">
  <si>
    <t>１０月</t>
    <rPh sb="2" eb="3">
      <t>ガツ</t>
    </rPh>
    <phoneticPr fontId="1"/>
  </si>
  <si>
    <t>１１月</t>
  </si>
  <si>
    <t>１２月</t>
  </si>
  <si>
    <t>１月</t>
  </si>
  <si>
    <t>２月</t>
  </si>
  <si>
    <t>３月</t>
  </si>
  <si>
    <t>４月</t>
  </si>
  <si>
    <t>５月</t>
  </si>
  <si>
    <t>６月</t>
  </si>
  <si>
    <t>７月</t>
  </si>
  <si>
    <t>８月</t>
  </si>
  <si>
    <t>９月</t>
  </si>
  <si>
    <t>合計</t>
    <rPh sb="0" eb="2">
      <t>ゴウケイ</t>
    </rPh>
    <phoneticPr fontId="1"/>
  </si>
  <si>
    <t>ヤマハ</t>
    <phoneticPr fontId="1"/>
  </si>
  <si>
    <t>製品</t>
    <rPh sb="0" eb="2">
      <t>セイヒン</t>
    </rPh>
    <phoneticPr fontId="1"/>
  </si>
  <si>
    <t>区分</t>
    <rPh sb="0" eb="2">
      <t>クブン</t>
    </rPh>
    <phoneticPr fontId="1"/>
  </si>
  <si>
    <t>B01</t>
    <phoneticPr fontId="1"/>
  </si>
  <si>
    <t>B02</t>
    <phoneticPr fontId="1"/>
  </si>
  <si>
    <t>B03</t>
    <phoneticPr fontId="1"/>
  </si>
  <si>
    <t>C01</t>
    <phoneticPr fontId="1"/>
  </si>
  <si>
    <t>粗利</t>
    <rPh sb="0" eb="2">
      <t>アラリ</t>
    </rPh>
    <phoneticPr fontId="1"/>
  </si>
  <si>
    <t>☆東海アルコック☆</t>
    <phoneticPr fontId="1"/>
  </si>
  <si>
    <t>鳥居金属ブリッジ</t>
    <rPh sb="0" eb="4">
      <t>トリイキンゾク</t>
    </rPh>
    <phoneticPr fontId="1"/>
  </si>
  <si>
    <t>鳥居金属ミニロード</t>
    <phoneticPr fontId="1"/>
  </si>
  <si>
    <t>鳥居金属TL</t>
    <phoneticPr fontId="1"/>
  </si>
  <si>
    <t>当月データ更新中・・・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</si>
</sst>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0"/>
      <color rgb="FF00B050"/>
      <name val="HG丸ｺﾞｼｯｸM-PRO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sz val="14"/>
      <color theme="9" tint="-0.499984740745262"/>
      <name val="AR丸ゴシック体M"/>
      <family val="3"/>
      <charset val="128"/>
    </font>
    <font>
      <b/>
      <sz val="14"/>
      <color rgb="FFFF000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38" fontId="0" fillId="3" borderId="1" xfId="1" applyFont="1" applyFill="1" applyBorder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247650</xdr:colOff>
      <xdr:row>6</xdr:row>
      <xdr:rowOff>0</xdr:rowOff>
    </xdr:from>
    <xdr:to>
      <xdr:col>5</xdr:col>
      <xdr:colOff>371475</xdr:colOff>
      <xdr:row>8</xdr:row>
      <xdr:rowOff>57150</xdr:rowOff>
    </xdr:to>
    <xdr:sp macro="" textlink="">
      <xdr:nvSpPr>
        <xdr:cNvPr id="2" name="六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66900" y="1143000"/>
          <a:ext cx="2552700" cy="438150"/>
        </a:xfrm>
        <a:prstGeom prst="hexagon">
          <a:avLst/>
        </a:prstGeom>
        <a:solidFill>
          <a:schemeClr val="bg2">
            <a:lumMod val="90000"/>
          </a:schemeClr>
        </a:solidFill>
        <a:ln>
          <a:solidFill>
            <a:srgbClr val="00B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 cap="none" spc="0">
              <a:ln>
                <a:noFill/>
              </a:ln>
              <a:solidFill>
                <a:srgbClr val="00B050"/>
              </a:solidFill>
              <a:effectLst/>
              <a:latin typeface="AR P丸ゴシック体M" panose="020B0600010101010101" pitchFamily="50" charset="-128"/>
              <a:ea typeface="AR P丸ゴシック体M" panose="020B0600010101010101" pitchFamily="50" charset="-128"/>
            </a:rPr>
            <a:t>工場日計表更新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ペーパー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R44"/>
  <sheetViews>
    <sheetView showGridLines="0" showRowColHeaders="0" tabSelected="1" zoomScaleNormal="100" workbookViewId="0"/>
  </sheetViews>
  <sheetFormatPr defaultRowHeight="13.5"/>
  <cols>
    <col min="1" max="18" width="10.625" customWidth="1"/>
  </cols>
  <sheetData>
    <row r="1" spans="1:18" ht="1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</row>
    <row r="2" spans="1:18" ht="15" customHeight="1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</row>
    <row r="3" spans="1:18" ht="1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</row>
    <row r="4" spans="1:18" ht="15" customHeight="1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18" ht="15" customHeight="1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</row>
    <row r="6" spans="1:18" ht="15" customHeight="1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</row>
    <row r="7" spans="1:18" ht="15" customHeight="1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</row>
    <row r="8" spans="1:18" ht="15" customHeight="1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</row>
    <row r="9" spans="1:18" ht="15" customHeight="1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</row>
    <row r="10" spans="1:18" ht="15" customHeight="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</row>
    <row r="11" spans="1:18" ht="15" customHeight="1">
      <c r="A11" s="6"/>
      <c r="B11" s="6"/>
      <c r="C11" s="6"/>
      <c r="D11" s="7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18" ht="15" customHeight="1">
      <c r="A12" s="6"/>
      <c r="B12" s="6"/>
      <c r="C12" s="6"/>
      <c r="D12" s="8" t="s">
        <v>21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</row>
    <row r="13" spans="1:18" ht="15" customHeight="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18" ht="15" customHeight="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</row>
    <row r="15" spans="1:18" ht="15" customHeight="1">
      <c r="A15" s="6"/>
      <c r="B15" s="6"/>
      <c r="C15" s="6"/>
      <c r="D15" s="9" t="s">
        <v>25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</row>
    <row r="16" spans="1:18" ht="15" customHeigh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1:18" ht="15" customHeight="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1:18" ht="15" customHeight="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1:18" ht="15" customHeight="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</row>
    <row r="20" spans="1:18" ht="15" customHeight="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</row>
    <row r="21" spans="1:18" ht="15" customHeight="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</row>
    <row r="22" spans="1:18" ht="15" customHeight="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</row>
    <row r="23" spans="1:18" ht="15" customHeight="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</row>
    <row r="24" spans="1:18" ht="15" customHeight="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</row>
    <row r="25" spans="1:18" ht="15" customHeight="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</row>
    <row r="26" spans="1:18" ht="15" customHeight="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</row>
    <row r="27" spans="1:18" ht="1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</row>
    <row r="28" spans="1:18" ht="1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</row>
    <row r="29" spans="1:18" ht="1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</row>
    <row r="30" spans="1:18" ht="1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</row>
    <row r="32" spans="1:18" ht="15" customHeight="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5" customHeight="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15" customHeight="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5" customHeight="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</row>
    <row r="36" spans="1:18" ht="15" customHeight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</row>
    <row r="37" spans="1:18" ht="15" customHeight="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</row>
    <row r="38" spans="1:18" ht="15" customHeight="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</row>
    <row r="39" spans="1:18" ht="15" customHeight="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</row>
    <row r="40" spans="1:18" ht="15" customHeight="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</row>
    <row r="42" spans="1:18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</sheetData>
  <phoneticPr fontId="1"/>
  <pageMargins left="0.7" right="0.7" top="0.75" bottom="0.75" header="0.3" footer="0.3"/>
  <pageSetup paperSize="9" orientation="portrait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O10"/>
  <sheetViews>
    <sheetView workbookViewId="0">
      <selection activeCell="A7" sqref="A7:A9"/>
    </sheetView>
  </sheetViews>
  <sheetFormatPr defaultRowHeight="13.5"/>
  <sheetData>
    <row r="1" spans="1:15">
      <c r="A1" s="3" t="s">
        <v>14</v>
      </c>
      <c r="B1" s="3" t="s">
        <v>15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</v>
      </c>
      <c r="I1" s="3" t="s">
        <v>9</v>
      </c>
      <c r="J1" s="3" t="s">
        <v>10</v>
      </c>
      <c r="K1" s="3" t="s">
        <v>11</v>
      </c>
      <c r="L1" s="3" t="s">
        <v>0</v>
      </c>
      <c r="M1" s="3" t="s">
        <v>1</v>
      </c>
      <c r="N1" s="3" t="s">
        <v>2</v>
      </c>
      <c r="O1" s="3" t="s">
        <v>12</v>
      </c>
    </row>
    <row r="2" spans="1:15">
      <c r="A2" s="1" t="s">
        <v>22</v>
      </c>
      <c r="B2" s="1" t="s">
        <v>16</v>
      </c>
      <c r="C2" s="5">
        <v>127</v>
      </c>
      <c r="D2" s="5">
        <v>375</v>
      </c>
      <c r="E2" s="5">
        <v>259</v>
      </c>
      <c r="F2" s="5">
        <v>430</v>
      </c>
      <c r="G2" s="5">
        <v>310</v>
      </c>
      <c r="H2" s="5">
        <v>458</v>
      </c>
      <c r="I2" s="5">
        <v>280</v>
      </c>
      <c r="J2" s="5">
        <v>378</v>
      </c>
      <c r="K2" s="5">
        <v>155</v>
      </c>
      <c r="L2" s="5">
        <v>342</v>
      </c>
      <c r="M2" s="5">
        <v>234</v>
      </c>
      <c r="N2" s="5">
        <v>306</v>
      </c>
      <c r="O2" s="2">
        <f>SUM(C2:N2)</f>
        <v>3654</v>
      </c>
    </row>
    <row r="3" spans="1:15">
      <c r="A3" s="1" t="s">
        <v>23</v>
      </c>
      <c r="B3" s="1" t="s">
        <v>17</v>
      </c>
      <c r="C3" s="5">
        <v>469</v>
      </c>
      <c r="D3" s="5">
        <v>467</v>
      </c>
      <c r="E3" s="5">
        <v>466</v>
      </c>
      <c r="F3" s="5">
        <v>418</v>
      </c>
      <c r="G3" s="5">
        <v>421</v>
      </c>
      <c r="H3" s="5">
        <v>475</v>
      </c>
      <c r="I3" s="5">
        <v>466</v>
      </c>
      <c r="J3" s="5">
        <v>459</v>
      </c>
      <c r="K3" s="5">
        <v>481</v>
      </c>
      <c r="L3" s="5">
        <v>373</v>
      </c>
      <c r="M3" s="5">
        <v>444</v>
      </c>
      <c r="N3" s="5">
        <v>417</v>
      </c>
      <c r="O3" s="2">
        <f t="shared" ref="O3:O5" si="0">SUM(C3:N3)</f>
        <v>5356</v>
      </c>
    </row>
    <row r="4" spans="1:15">
      <c r="A4" s="1" t="s">
        <v>24</v>
      </c>
      <c r="B4" s="1" t="s">
        <v>18</v>
      </c>
      <c r="C4" s="5">
        <v>83</v>
      </c>
      <c r="D4" s="5">
        <v>63</v>
      </c>
      <c r="E4" s="5">
        <v>51</v>
      </c>
      <c r="F4" s="5">
        <v>55</v>
      </c>
      <c r="G4" s="5">
        <v>72</v>
      </c>
      <c r="H4" s="5">
        <v>39</v>
      </c>
      <c r="I4" s="5">
        <v>87</v>
      </c>
      <c r="J4" s="5">
        <v>22</v>
      </c>
      <c r="K4" s="5">
        <v>63</v>
      </c>
      <c r="L4" s="5">
        <v>39</v>
      </c>
      <c r="M4" s="5">
        <v>89</v>
      </c>
      <c r="N4" s="5">
        <v>24</v>
      </c>
      <c r="O4" s="2">
        <f t="shared" si="0"/>
        <v>687</v>
      </c>
    </row>
    <row r="5" spans="1:15">
      <c r="A5" s="1" t="s">
        <v>13</v>
      </c>
      <c r="B5" s="1" t="s">
        <v>19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10</v>
      </c>
      <c r="M5" s="5">
        <v>0</v>
      </c>
      <c r="N5" s="5">
        <v>0</v>
      </c>
      <c r="O5" s="2">
        <f t="shared" si="0"/>
        <v>10</v>
      </c>
    </row>
    <row r="6" spans="1:15">
      <c r="A6" s="4" t="s">
        <v>20</v>
      </c>
    </row>
    <row r="7" spans="1:15">
      <c r="A7" s="1" t="s">
        <v>22</v>
      </c>
      <c r="B7" s="1" t="s">
        <v>16</v>
      </c>
      <c r="C7" s="2">
        <v>10</v>
      </c>
      <c r="D7" s="2">
        <v>30</v>
      </c>
      <c r="E7" s="2">
        <v>21</v>
      </c>
      <c r="F7" s="2">
        <v>34</v>
      </c>
      <c r="G7" s="2">
        <v>25</v>
      </c>
      <c r="H7" s="2">
        <v>37</v>
      </c>
      <c r="I7" s="2">
        <v>22</v>
      </c>
      <c r="J7" s="2">
        <v>30</v>
      </c>
      <c r="K7" s="2">
        <v>12</v>
      </c>
      <c r="L7" s="2">
        <v>27</v>
      </c>
      <c r="M7" s="2">
        <v>19</v>
      </c>
      <c r="N7" s="2">
        <v>24</v>
      </c>
      <c r="O7" s="2">
        <f>SUM(C7:N7)</f>
        <v>291</v>
      </c>
    </row>
    <row r="8" spans="1:15">
      <c r="A8" s="1" t="s">
        <v>23</v>
      </c>
      <c r="B8" s="1" t="s">
        <v>17</v>
      </c>
      <c r="C8" s="2">
        <v>38</v>
      </c>
      <c r="D8" s="2">
        <v>37</v>
      </c>
      <c r="E8" s="2">
        <v>37</v>
      </c>
      <c r="F8" s="2">
        <v>33</v>
      </c>
      <c r="G8" s="2">
        <v>34</v>
      </c>
      <c r="H8" s="2">
        <v>38</v>
      </c>
      <c r="I8" s="2">
        <v>37</v>
      </c>
      <c r="J8" s="2">
        <v>37</v>
      </c>
      <c r="K8" s="2">
        <v>38</v>
      </c>
      <c r="L8" s="2">
        <v>30</v>
      </c>
      <c r="M8" s="2">
        <v>36</v>
      </c>
      <c r="N8" s="2">
        <v>33</v>
      </c>
      <c r="O8" s="2">
        <f t="shared" ref="O8:O10" si="1">SUM(C8:N8)</f>
        <v>428</v>
      </c>
    </row>
    <row r="9" spans="1:15">
      <c r="A9" s="1" t="s">
        <v>24</v>
      </c>
      <c r="B9" s="1" t="s">
        <v>18</v>
      </c>
      <c r="C9" s="2">
        <v>24</v>
      </c>
      <c r="D9" s="2">
        <v>18</v>
      </c>
      <c r="E9" s="2">
        <v>15</v>
      </c>
      <c r="F9" s="2">
        <v>16</v>
      </c>
      <c r="G9" s="2">
        <v>21</v>
      </c>
      <c r="H9" s="2">
        <v>12</v>
      </c>
      <c r="I9" s="2">
        <v>27</v>
      </c>
      <c r="J9" s="2">
        <v>6</v>
      </c>
      <c r="K9" s="2">
        <v>18</v>
      </c>
      <c r="L9" s="2">
        <v>12</v>
      </c>
      <c r="M9" s="2">
        <v>26</v>
      </c>
      <c r="N9" s="2">
        <v>6</v>
      </c>
      <c r="O9" s="2">
        <f t="shared" si="1"/>
        <v>201</v>
      </c>
    </row>
    <row r="10" spans="1:15">
      <c r="A10" s="1" t="s">
        <v>13</v>
      </c>
      <c r="B10" s="1" t="s">
        <v>19</v>
      </c>
      <c r="C10" s="2">
        <f t="shared" ref="C10:N10" si="2">ROUND(C5*0.16,0)</f>
        <v>0</v>
      </c>
      <c r="D10" s="2">
        <f t="shared" si="2"/>
        <v>0</v>
      </c>
      <c r="E10" s="2">
        <f t="shared" si="2"/>
        <v>0</v>
      </c>
      <c r="F10" s="2">
        <f t="shared" si="2"/>
        <v>0</v>
      </c>
      <c r="G10" s="2">
        <f t="shared" si="2"/>
        <v>0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2</v>
      </c>
      <c r="M10" s="2">
        <f t="shared" si="2"/>
        <v>0</v>
      </c>
      <c r="N10" s="2">
        <f t="shared" si="2"/>
        <v>0</v>
      </c>
      <c r="O10" s="2">
        <f t="shared" si="1"/>
        <v>2</v>
      </c>
    </row>
  </sheetData>
  <phoneticPr fontId="1"/>
  <pageMargins left="0.7" right="0.7" top="0.75" bottom="0.75" header="0.3" footer="0.3"/>
  <pageSetup paperSize="9" scale="9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Wait</vt:lpstr>
      <vt:lpstr>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</dc:creator>
  <cp:lastModifiedBy>SCOTT</cp:lastModifiedBy>
  <cp:lastPrinted>2013-02-05T05:29:23Z</cp:lastPrinted>
  <dcterms:created xsi:type="dcterms:W3CDTF">2010-08-20T00:31:16Z</dcterms:created>
  <dcterms:modified xsi:type="dcterms:W3CDTF">2022-06-02T04:58:27Z</dcterms:modified>
</cp:coreProperties>
</file>